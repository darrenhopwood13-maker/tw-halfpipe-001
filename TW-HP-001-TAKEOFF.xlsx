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ke-o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5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58" customWidth="1" min="2" max="2"/>
    <col width="10" customWidth="1" min="3" max="3"/>
    <col width="8" customWidth="1" min="4" max="4"/>
    <col width="10" customWidth="1" min="5" max="5"/>
    <col width="12" customWidth="1" min="6" max="6"/>
    <col width="50" customWidth="1" min="7" max="7"/>
  </cols>
  <sheetData>
    <row r="1">
      <c r="A1" s="1" t="inlineStr">
        <is>
          <t>TW-HP-001 rev P01 - priced build sheet</t>
        </is>
      </c>
    </row>
    <row r="2">
      <c r="A2" t="inlineStr">
        <is>
          <t>4 October 2026</t>
        </is>
      </c>
    </row>
    <row r="3">
      <c r="A3" s="2" t="inlineStr">
        <is>
          <t>Indicative UK supply rates, 4 October 2026, delivered. Excludes overheads, profit, prelims, plant, the design fee, the independent check, the ride inspection regime, and the event insurance.</t>
        </is>
      </c>
    </row>
    <row r="4"/>
    <row r="6">
      <c r="A6" s="3" t="inlineStr">
        <is>
          <t>Section</t>
        </is>
      </c>
      <c r="B6" s="3" t="inlineStr">
        <is>
          <t>Description</t>
        </is>
      </c>
      <c r="C6" s="3" t="inlineStr">
        <is>
          <t>Quantity</t>
        </is>
      </c>
      <c r="D6" s="3" t="inlineStr">
        <is>
          <t>Unit</t>
        </is>
      </c>
      <c r="E6" s="3" t="inlineStr">
        <is>
          <t>Rate GBP</t>
        </is>
      </c>
      <c r="F6" s="3" t="inlineStr">
        <is>
          <t>Amount GBP</t>
        </is>
      </c>
      <c r="G6" s="3" t="inlineStr">
        <is>
          <t>Note</t>
        </is>
      </c>
    </row>
    <row r="7">
      <c r="A7" t="inlineStr">
        <is>
          <t>A. TIMBER</t>
        </is>
      </c>
      <c r="B7" t="inlineStr">
        <is>
          <t>Leg 100 x 100 C24 treated, average 1.50 m</t>
        </is>
      </c>
      <c r="C7" t="n">
        <v>36</v>
      </c>
      <c r="D7" t="inlineStr">
        <is>
          <t>no</t>
        </is>
      </c>
      <c r="E7" s="4" t="n">
        <v>16.5</v>
      </c>
      <c r="F7" s="4">
        <f>C7*E7</f>
        <v/>
      </c>
      <c r="G7" s="5" t="inlineStr">
        <is>
          <t>2 per cross frame, both sides. Length varies with the transition</t>
        </is>
      </c>
    </row>
    <row r="8">
      <c r="A8" t="inlineStr">
        <is>
          <t>A. TIMBER</t>
        </is>
      </c>
      <c r="B8" t="inlineStr">
        <is>
          <t>Bearer / rail 100 x 75 C24 treated, laid flat</t>
        </is>
      </c>
      <c r="C8" t="n">
        <v>180</v>
      </c>
      <c r="D8" t="inlineStr">
        <is>
          <t>m</t>
        </is>
      </c>
      <c r="E8" s="4" t="n">
        <v>8.199999999999999</v>
      </c>
      <c r="F8" s="4">
        <f>C8*E8</f>
        <v/>
      </c>
      <c r="G8" s="5" t="inlineStr">
        <is>
          <t>9 runs x 20 m: 3 under the flat, 3 up each transition</t>
        </is>
      </c>
    </row>
    <row r="9">
      <c r="A9" t="inlineStr">
        <is>
          <t>A. TIMBER</t>
        </is>
      </c>
      <c r="B9" t="inlineStr">
        <is>
          <t>Cross bearer under the flat, 100 x 75</t>
        </is>
      </c>
      <c r="C9" t="n">
        <v>27</v>
      </c>
      <c r="D9" t="inlineStr">
        <is>
          <t>m</t>
        </is>
      </c>
      <c r="E9" s="4" t="n">
        <v>8.199999999999999</v>
      </c>
      <c r="F9" s="4">
        <f>C9*E9</f>
        <v/>
      </c>
      <c r="G9" s="5" t="inlineStr">
        <is>
          <t>18 frames x 1.5 m across the flat bottom</t>
        </is>
      </c>
    </row>
    <row r="10">
      <c r="A10" t="inlineStr">
        <is>
          <t>B. PLY</t>
        </is>
      </c>
      <c r="B10" t="inlineStr">
        <is>
          <t>Ply 12 mm exterior, riding surface, two layers</t>
        </is>
      </c>
      <c r="C10" t="n">
        <v>115</v>
      </c>
      <c r="D10" t="inlineStr">
        <is>
          <t>sheet</t>
        </is>
      </c>
      <c r="E10" s="4" t="n">
        <v>38</v>
      </c>
      <c r="F10" s="4">
        <f>C10*E10</f>
        <v/>
      </c>
      <c r="G10" s="5" t="inlineStr">
        <is>
          <t>146 m2 surface + 24 m2 deck, doubled = 340 m2, plus cutting waste</t>
        </is>
      </c>
    </row>
    <row r="11">
      <c r="A11" t="inlineStr">
        <is>
          <t>B. PLY</t>
        </is>
      </c>
      <c r="B11" t="inlineStr">
        <is>
          <t>Ply 18 mm exterior, side and end closing</t>
        </is>
      </c>
      <c r="C11" t="n">
        <v>26</v>
      </c>
      <c r="D11" t="inlineStr">
        <is>
          <t>sheet</t>
        </is>
      </c>
      <c r="E11" s="4" t="n">
        <v>46</v>
      </c>
      <c r="F11" s="4">
        <f>C11*E11</f>
        <v/>
      </c>
      <c r="G11" s="5" t="inlineStr">
        <is>
          <t>About 76 m2 closing so nobody can get inside the structure</t>
        </is>
      </c>
    </row>
    <row r="12">
      <c r="A12" t="inlineStr">
        <is>
          <t>B. PLY</t>
        </is>
      </c>
      <c r="B12" t="inlineStr">
        <is>
          <t>Ply 18 mm, curved ribs, 300 mm deep</t>
        </is>
      </c>
      <c r="C12" t="n">
        <v>20</v>
      </c>
      <c r="D12" t="inlineStr">
        <is>
          <t>sheet</t>
        </is>
      </c>
      <c r="E12" s="4" t="n">
        <v>46</v>
      </c>
      <c r="F12" s="4">
        <f>C12*E12</f>
        <v/>
      </c>
      <c r="G12" s="5" t="inlineStr">
        <is>
          <t>36 ribs in two segments each, nested 4 segments per sheet</t>
        </is>
      </c>
    </row>
    <row r="13">
      <c r="A13" t="inlineStr">
        <is>
          <t>B. PLY</t>
        </is>
      </c>
      <c r="B13" t="inlineStr">
        <is>
          <t>Ply 18 mm spreader pads 450 x 450 under every leg</t>
        </is>
      </c>
      <c r="C13" t="n">
        <v>7</v>
      </c>
      <c r="D13" t="inlineStr">
        <is>
          <t>sheet</t>
        </is>
      </c>
      <c r="E13" s="4" t="n">
        <v>46</v>
      </c>
      <c r="F13" s="4">
        <f>C13*E13</f>
        <v/>
      </c>
      <c r="G13" s="5" t="inlineStr">
        <is>
          <t>36 pads, cut from 7 sheets</t>
        </is>
      </c>
    </row>
    <row r="14">
      <c r="A14" t="inlineStr">
        <is>
          <t>C. STEEL</t>
        </is>
      </c>
      <c r="B14" t="inlineStr">
        <is>
          <t>Coping tube 60 mm dia, both top edges</t>
        </is>
      </c>
      <c r="C14" t="n">
        <v>40</v>
      </c>
      <c r="D14" t="inlineStr">
        <is>
          <t>m</t>
        </is>
      </c>
      <c r="E14" s="4" t="n">
        <v>18</v>
      </c>
      <c r="F14" s="4">
        <f>C14*E14</f>
        <v/>
      </c>
      <c r="G14" s="5" t="inlineStr">
        <is>
          <t>2 x 20 m, with end caps and fixings to the deck</t>
        </is>
      </c>
    </row>
    <row r="15">
      <c r="A15" t="inlineStr">
        <is>
          <t>C. STEEL</t>
        </is>
      </c>
      <c r="B15" t="inlineStr">
        <is>
          <t>Screw and bolt fixings, coping, ribs to rails, ply to ribs</t>
        </is>
      </c>
      <c r="C15" t="n">
        <v>1</v>
      </c>
      <c r="D15" t="inlineStr">
        <is>
          <t>item</t>
        </is>
      </c>
      <c r="E15" s="4" t="n">
        <v>620</v>
      </c>
      <c r="F15" s="4">
        <f>C15*E15</f>
        <v/>
      </c>
      <c r="G15" s="5" t="inlineStr">
        <is>
          <t>Allowance: about 4,000 screws at 150 c/c plus M10 bolts</t>
        </is>
      </c>
    </row>
    <row r="16">
      <c r="A16" t="inlineStr">
        <is>
          <t>D. BALLAST</t>
        </is>
      </c>
      <c r="B16" t="inlineStr">
        <is>
          <t>Ballast to hold the ramp down, see the calc sheet</t>
        </is>
      </c>
      <c r="C16" t="n">
        <v>5</v>
      </c>
      <c r="D16" t="inlineStr">
        <is>
          <t>t</t>
        </is>
      </c>
      <c r="E16" s="4" t="n">
        <v>130</v>
      </c>
      <c r="F16" s="4">
        <f>C16*E16</f>
        <v/>
      </c>
      <c r="G16" s="5" t="inlineStr">
        <is>
          <t>5 t in the middle of the 3.0-6.8 t range. Concrete blocks or water ballast</t>
        </is>
      </c>
    </row>
    <row r="17">
      <c r="A17" t="inlineStr">
        <is>
          <t>D. BALLAST</t>
        </is>
      </c>
      <c r="B17" t="inlineStr">
        <is>
          <t>Ground anchors, alternative to ballast if the tarmac may be broken</t>
        </is>
      </c>
      <c r="C17" t="n">
        <v>0</v>
      </c>
      <c r="D17" t="inlineStr">
        <is>
          <t>no</t>
        </is>
      </c>
      <c r="E17" s="4" t="n">
        <v>0</v>
      </c>
      <c r="F17" s="4">
        <f>C17*E17</f>
        <v/>
      </c>
      <c r="G17" s="5" t="inlineStr">
        <is>
          <t>Priced as nil. Cheaper if the ground allows - CHECK before ordering ballast</t>
        </is>
      </c>
    </row>
    <row r="18">
      <c r="A18" t="inlineStr">
        <is>
          <t>E. LABOUR</t>
        </is>
      </c>
      <c r="B18" t="inlineStr">
        <is>
          <t>Carpenter</t>
        </is>
      </c>
      <c r="C18" t="n">
        <v>10</v>
      </c>
      <c r="D18" t="inlineStr">
        <is>
          <t>day</t>
        </is>
      </c>
      <c r="E18" s="4" t="n">
        <v>245</v>
      </c>
      <c r="F18" s="4">
        <f>C18*E18</f>
        <v/>
      </c>
      <c r="G18" s="5" t="inlineStr">
        <is>
          <t>2 carpenters x 5 days: cut ribs, frame, deck, surface, closing</t>
        </is>
      </c>
    </row>
    <row r="19">
      <c r="A19" t="inlineStr">
        <is>
          <t>E. LABOUR</t>
        </is>
      </c>
      <c r="B19" t="inlineStr">
        <is>
          <t>General labourer</t>
        </is>
      </c>
      <c r="C19" t="n">
        <v>4</v>
      </c>
      <c r="D19" t="inlineStr">
        <is>
          <t>day</t>
        </is>
      </c>
      <c r="E19" s="4" t="n">
        <v>185</v>
      </c>
      <c r="F19" s="4">
        <f>C19*E19</f>
        <v/>
      </c>
      <c r="G19" s="5" t="inlineStr">
        <is>
          <t>Assisting, handling sheets, ballast</t>
        </is>
      </c>
    </row>
    <row r="20">
      <c r="B20" s="6" t="inlineStr">
        <is>
          <t>Materials, steel and ballast</t>
        </is>
      </c>
      <c r="F20" s="4" t="n">
        <v>11089.4</v>
      </c>
    </row>
    <row r="21">
      <c r="B21" s="6" t="inlineStr">
        <is>
          <t>Labour</t>
        </is>
      </c>
      <c r="F21" s="4" t="n">
        <v>3190</v>
      </c>
    </row>
    <row r="22">
      <c r="B22" s="6" t="inlineStr">
        <is>
          <t>TOTAL excl. OH&amp;P, prelims</t>
        </is>
      </c>
      <c r="F22" s="4" t="n">
        <v>14279.4</v>
      </c>
    </row>
  </sheetData>
  <mergeCells count="1">
    <mergeCell ref="A3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2026-10-04T18:46:52Z</dcterms:created>
  <dcterms:modified xmlns:dcterms="http://purl.org/dc/terms/" xmlns:xsi="http://www.w3.org/2001/XMLSchema-instance" xsi:type="dcterms:W3CDTF">2026-10-04T18:46:52Z</dcterms:modified>
</cp:coreProperties>
</file>